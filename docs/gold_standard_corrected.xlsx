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"/>
  </numFmts>
  <fonts count="3">
    <font>
      <name val="맑은 고딕"/>
      <charset val="129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4" fontId="0" fillId="0" borderId="1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FOM_w: material class vs value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[1]FOM_w!$K$2</f>
              <strCache>
                <ptCount val="1"/>
                <pt idx="0">
                  <v>[47]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/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cat>
            <strRef>
              <f>[1]FOM_w!$L$1:$P$1</f>
              <strCache>
                <ptCount val="5"/>
                <pt idx="0">
                  <v>all 유전체</v>
                </pt>
                <pt idx="1">
                  <v>반도체+금속+유전체</v>
                </pt>
                <pt idx="2">
                  <v>금속+상변화물질+반도체+금속</v>
                </pt>
                <pt idx="3">
                  <v>유전체+금속</v>
                </pt>
                <pt idx="4">
                  <v>금속+유전체+반도체</v>
                </pt>
              </strCache>
            </strRef>
          </cat>
          <val>
            <numRef>
              <f>[1]FOM_w!$L$2:$P$2</f>
              <numCache>
                <formatCode>General</formatCode>
                <ptCount val="5"/>
                <pt idx="0">
                  <formatCode>0.############</formatCode>
                  <v>4140</v>
                </pt>
              </numCache>
            </numRef>
          </val>
          <smooth val="0"/>
        </ser>
        <ser>
          <idx val="1"/>
          <order val="1"/>
          <tx>
            <strRef>
              <f>[1]FOM_w!$K$3</f>
              <strCache>
                <ptCount val="1"/>
                <pt idx="0">
                  <v>[13]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/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cat>
            <strRef>
              <f>[1]FOM_w!$L$1:$P$1</f>
              <strCache>
                <ptCount val="5"/>
                <pt idx="0">
                  <v>all 유전체</v>
                </pt>
                <pt idx="1">
                  <v>반도체+금속+유전체</v>
                </pt>
                <pt idx="2">
                  <v>금속+상변화물질+반도체+금속</v>
                </pt>
                <pt idx="3">
                  <v>유전체+금속</v>
                </pt>
                <pt idx="4">
                  <v>금속+유전체+반도체</v>
                </pt>
              </strCache>
            </strRef>
          </cat>
          <val>
            <numRef>
              <f>[1]FOM_w!$L$3:$P$3</f>
              <numCache>
                <formatCode>General</formatCode>
                <ptCount val="5"/>
                <pt idx="0">
                  <formatCode>0.############</formatCode>
                  <v>1000</v>
                </pt>
              </numCache>
            </numRef>
          </val>
          <smooth val="0"/>
        </ser>
        <ser>
          <idx val="2"/>
          <order val="2"/>
          <tx>
            <strRef>
              <f>[1]FOM_w!$K$4</f>
              <strCache>
                <ptCount val="1"/>
                <pt idx="0">
                  <v>[77]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/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cat>
            <strRef>
              <f>[1]FOM_w!$L$1:$P$1</f>
              <strCache>
                <ptCount val="5"/>
                <pt idx="0">
                  <v>all 유전체</v>
                </pt>
                <pt idx="1">
                  <v>반도체+금속+유전체</v>
                </pt>
                <pt idx="2">
                  <v>금속+상변화물질+반도체+금속</v>
                </pt>
                <pt idx="3">
                  <v>유전체+금속</v>
                </pt>
                <pt idx="4">
                  <v>금속+유전체+반도체</v>
                </pt>
              </strCache>
            </strRef>
          </cat>
          <val>
            <numRef>
              <f>[1]FOM_w!$L$4:$P$4</f>
              <numCache>
                <formatCode>0.############</formatCode>
                <ptCount val="5"/>
                <pt idx="1">
                  <v>283.3</v>
                </pt>
              </numCache>
            </numRef>
          </val>
          <smooth val="0"/>
        </ser>
        <ser>
          <idx val="3"/>
          <order val="3"/>
          <tx>
            <strRef>
              <f>[1]FOM_w!$K$5</f>
              <strCache>
                <ptCount val="1"/>
                <pt idx="0">
                  <v>[75]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/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cat>
            <strRef>
              <f>[1]FOM_w!$L$1:$P$1</f>
              <strCache>
                <ptCount val="5"/>
                <pt idx="0">
                  <v>all 유전체</v>
                </pt>
                <pt idx="1">
                  <v>반도체+금속+유전체</v>
                </pt>
                <pt idx="2">
                  <v>금속+상변화물질+반도체+금속</v>
                </pt>
                <pt idx="3">
                  <v>유전체+금속</v>
                </pt>
                <pt idx="4">
                  <v>금속+유전체+반도체</v>
                </pt>
              </strCache>
            </strRef>
          </cat>
          <val>
            <numRef>
              <f>[1]FOM_w!$L$5:$P$5</f>
              <numCache>
                <formatCode>General</formatCode>
                <ptCount val="5"/>
                <pt idx="0">
                  <formatCode>0.############</formatCode>
                  <v>42</v>
                </pt>
              </numCache>
            </numRef>
          </val>
          <smooth val="0"/>
        </ser>
        <ser>
          <idx val="4"/>
          <order val="4"/>
          <tx>
            <strRef>
              <f>[1]FOM_w!$K$6</f>
              <strCache>
                <ptCount val="1"/>
                <pt idx="0">
                  <v>[53]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/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cat>
            <strRef>
              <f>[1]FOM_w!$L$1:$P$1</f>
              <strCache>
                <ptCount val="5"/>
                <pt idx="0">
                  <v>all 유전체</v>
                </pt>
                <pt idx="1">
                  <v>반도체+금속+유전체</v>
                </pt>
                <pt idx="2">
                  <v>금속+상변화물질+반도체+금속</v>
                </pt>
                <pt idx="3">
                  <v>유전체+금속</v>
                </pt>
                <pt idx="4">
                  <v>금속+유전체+반도체</v>
                </pt>
              </strCache>
            </strRef>
          </cat>
          <val>
            <numRef>
              <f>[1]FOM_w!$L$6:$P$6</f>
              <numCache>
                <formatCode>General</formatCode>
                <ptCount val="5"/>
                <pt idx="2">
                  <formatCode>0.############</formatCode>
                  <v>36</v>
                </pt>
              </numCache>
            </numRef>
          </val>
          <smooth val="0"/>
        </ser>
        <ser>
          <idx val="5"/>
          <order val="5"/>
          <tx>
            <strRef>
              <f>[1]FOM_w!$K$7</f>
              <strCache>
                <ptCount val="1"/>
                <pt idx="0">
                  <v>[65]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/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cat>
            <strRef>
              <f>[1]FOM_w!$L$1:$P$1</f>
              <strCache>
                <ptCount val="5"/>
                <pt idx="0">
                  <v>all 유전체</v>
                </pt>
                <pt idx="1">
                  <v>반도체+금속+유전체</v>
                </pt>
                <pt idx="2">
                  <v>금속+상변화물질+반도체+금속</v>
                </pt>
                <pt idx="3">
                  <v>유전체+금속</v>
                </pt>
                <pt idx="4">
                  <v>금속+유전체+반도체</v>
                </pt>
              </strCache>
            </strRef>
          </cat>
          <val>
            <numRef>
              <f>[1]FOM_w!$L$7:$P$7</f>
              <numCache>
                <formatCode>General</formatCode>
                <ptCount val="5"/>
                <pt idx="3">
                  <formatCode>0.############</formatCode>
                  <v>19.2</v>
                </pt>
              </numCache>
            </numRef>
          </val>
          <smooth val="0"/>
        </ser>
        <ser>
          <idx val="6"/>
          <order val="6"/>
          <tx>
            <strRef>
              <f>[1]FOM_w!$K$8</f>
              <strCache>
                <ptCount val="1"/>
                <pt idx="0">
                  <v>[22]</v>
                </pt>
              </strCache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/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1"/>
            <showPercent val="0"/>
            <showBubbleSize val="0"/>
            <showLeaderLines val="0"/>
          </dLbls>
          <cat>
            <strRef>
              <f>[1]FOM_w!$L$1:$P$1</f>
              <strCache>
                <ptCount val="5"/>
                <pt idx="0">
                  <v>all 유전체</v>
                </pt>
                <pt idx="1">
                  <v>반도체+금속+유전체</v>
                </pt>
                <pt idx="2">
                  <v>금속+상변화물질+반도체+금속</v>
                </pt>
                <pt idx="3">
                  <v>유전체+금속</v>
                </pt>
                <pt idx="4">
                  <v>금속+유전체+반도체</v>
                </pt>
              </strCache>
            </strRef>
          </cat>
          <val>
            <numRef>
              <f>[1]FOM_w!$L$8:$P$8</f>
              <numCache>
                <formatCode>General</formatCode>
                <ptCount val="5"/>
                <pt idx="4">
                  <formatCode>0.############</formatCode>
                  <v>10.8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050001"/>
        <axId val="50050002"/>
      </lineChart>
      <catAx>
        <axId val="5005000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b="1" baseline="0"/>
                </a:pPr>
                <a:r>
                  <a:rPr lang="en-US" b="1" baseline="0"/>
                  <a:t>Material class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low"/>
        <txPr>
          <a:bodyPr xmlns:a="http://schemas.openxmlformats.org/drawingml/2006/main" rot="-2700000" vert="horz"/>
          <a:lstStyle xmlns:a="http://schemas.openxmlformats.org/drawingml/2006/main"/>
          <a:p xmlns:a="http://schemas.openxmlformats.org/drawingml/2006/main">
            <a:pPr>
              <a:defRPr sz="900" baseline="0"/>
            </a:pPr>
            <a:r>
              <a:t/>
            </a:r>
            <a:endParaRPr lang="en-US"/>
          </a:p>
        </txPr>
        <crossAx val="50050002"/>
        <crosses val="autoZero"/>
        <auto val="1"/>
        <lblAlgn val="ctr"/>
        <lblOffset val="100"/>
        <noMultiLvlLbl val="0"/>
      </catAx>
      <valAx>
        <axId val="50050002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 b="1" baseline="0"/>
                </a:pPr>
                <a:r>
                  <a:rPr lang="en-US" b="1" baseline="0"/>
                  <a:t>FOM (wavelength)</a:t>
                </a:r>
              </a:p>
            </rich>
          </tx>
          <overlay val="0"/>
        </title>
        <numFmt formatCode="0.############" sourceLinked="1"/>
        <majorTickMark val="out"/>
        <minorTickMark val="none"/>
        <tickLblPos val="nextTo"/>
        <crossAx val="50050001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12</row>
      <rowOff>0</rowOff>
    </from>
    <to>
      <col>4</col>
      <colOff>0</colOff>
      <row>38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T:\3.Review_meta+biosensor\&#53685;&#54633;_&#48516;&#49437;_260711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"/>
      <sheetName val="Sen_f"/>
      <sheetName val="Sen_w"/>
      <sheetName val="FOM_f"/>
      <sheetName val="FOM_w"/>
      <sheetName val="Normalization_log"/>
    </sheetNames>
    <sheetDataSet>
      <sheetData sheetId="0"/>
      <sheetData sheetId="1"/>
      <sheetData sheetId="2"/>
      <sheetData sheetId="3"/>
      <sheetData sheetId="4">
        <row r="1">
          <cell r="L1" t="str">
            <v>all 유전체</v>
          </cell>
          <cell r="M1" t="str">
            <v>반도체+금속+유전체</v>
          </cell>
          <cell r="N1" t="str">
            <v>금속+상변화물질+반도체+금속</v>
          </cell>
          <cell r="O1" t="str">
            <v>유전체+금속</v>
          </cell>
          <cell r="P1" t="str">
            <v>금속+유전체+반도체</v>
          </cell>
        </row>
        <row r="2">
          <cell r="K2" t="str">
            <v>[47]</v>
          </cell>
          <cell r="L2">
            <v>4140</v>
          </cell>
        </row>
        <row r="3">
          <cell r="K3" t="str">
            <v>[13]</v>
          </cell>
          <cell r="L3">
            <v>1000</v>
          </cell>
        </row>
        <row r="4">
          <cell r="K4" t="str">
            <v>[77]</v>
          </cell>
          <cell r="M4">
            <v>283.3</v>
          </cell>
        </row>
        <row r="5">
          <cell r="K5" t="str">
            <v>[75]</v>
          </cell>
          <cell r="L5">
            <v>42</v>
          </cell>
        </row>
        <row r="6">
          <cell r="K6" t="str">
            <v>[53]</v>
          </cell>
          <cell r="N6">
            <v>36</v>
          </cell>
        </row>
        <row r="7">
          <cell r="K7" t="str">
            <v>[65]</v>
          </cell>
          <cell r="O7">
            <v>19.2</v>
          </cell>
        </row>
        <row r="8">
          <cell r="K8" t="str">
            <v>[22]</v>
          </cell>
          <cell r="P8">
            <v>10.8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C2" sqref="C2"/>
    </sheetView>
  </sheetViews>
  <sheetFormatPr baseColWidth="8" defaultRowHeight="16.5"/>
  <cols>
    <col width="10.75" customWidth="1" style="2" min="1" max="1"/>
    <col width="55.75" customWidth="1" style="2" min="2" max="2"/>
    <col width="30.75" customWidth="1" style="2" min="3" max="3"/>
    <col width="18.75" customWidth="1" style="4" min="4" max="4"/>
  </cols>
  <sheetData>
    <row r="1" ht="33" customHeight="1" s="5">
      <c r="A1" s="1" t="inlineStr">
        <is>
          <t>ref</t>
        </is>
      </c>
      <c r="B1" s="1" t="inlineStr">
        <is>
          <t>title</t>
        </is>
      </c>
      <c r="C1" s="1" t="inlineStr">
        <is>
          <t>실제 공진에 영향을 주는 층</t>
        </is>
      </c>
      <c r="D1" s="1" t="inlineStr">
        <is>
          <t>wavelength based FOM(/RIU)</t>
        </is>
      </c>
    </row>
    <row r="2" ht="82.5" customHeight="1" s="5">
      <c r="A2" s="2" t="inlineStr">
        <is>
          <t>[47]</t>
        </is>
      </c>
      <c r="B2" s="2" t="inlineStr">
        <is>
          <t>High Quality–Factor All–Dielectric Metacavity for Label–Free
Biosensing</t>
        </is>
      </c>
      <c r="C2" s="2" t="inlineStr">
        <is>
          <t>Ta2O5(107nm)/SiO2(150 nm) 각 10층+ Si3N4 (180 nm) + SiO2 (5 nm) +Ta2O5(107nm)/SiO2(150 nm) 각 10층
all dielectric</t>
        </is>
      </c>
      <c r="D2" s="4" t="n">
        <v>1669</v>
      </c>
    </row>
    <row r="3" ht="49.5" customHeight="1" s="5">
      <c r="A3" s="2" t="inlineStr">
        <is>
          <t>[13]</t>
        </is>
      </c>
      <c r="B3" s="2" t="inlineStr">
        <is>
          <t>High-Q Fano resonances in all-dielectric metastructures for enhanced optical biosensing
applications</t>
        </is>
      </c>
      <c r="C3" s="2" t="inlineStr">
        <is>
          <t>Si (200 nm)
all dielectric</t>
        </is>
      </c>
      <c r="D3" s="4" t="n">
        <v>1000</v>
      </c>
    </row>
    <row r="4" ht="66" customHeight="1" s="5">
      <c r="A4" s="2" t="inlineStr">
        <is>
          <t>[77]</t>
        </is>
      </c>
      <c r="B4" s="2" t="inlineStr">
        <is>
          <t>Highly sensitive nanoscale
plasmonic biosensor utilizing Fano resonance metasurface in THz range:
numerical study,</t>
        </is>
      </c>
      <c r="C4" s="2" t="inlineStr">
        <is>
          <t>Si3N4(50 nm) +gold(40 nm)+ prism(100 nm)
Semi+metal+dielectric</t>
        </is>
      </c>
      <c r="D4" s="4" t="n">
        <v>283.3</v>
      </c>
    </row>
    <row r="5" ht="66" customHeight="1" s="5">
      <c r="A5" s="2" t="inlineStr">
        <is>
          <t>[75]</t>
        </is>
      </c>
      <c r="B5" s="2" t="inlineStr">
        <is>
          <t>Analogue electromagnetically
induced transparency based on low-loss metamaterial and its application in
nanosensor and slow-light device,</t>
        </is>
      </c>
      <c r="C5" s="2" t="inlineStr">
        <is>
          <t>Si(110 nm)
all dielectric</t>
        </is>
      </c>
      <c r="D5" s="4" t="n">
        <v>42</v>
      </c>
    </row>
    <row r="6" ht="49.5" customHeight="1" s="5">
      <c r="A6" s="2" t="inlineStr">
        <is>
          <t>[53]</t>
        </is>
      </c>
      <c r="B6" s="2" t="inlineStr">
        <is>
          <t>Graphene‑based Surface Plasmon Resonance Biosensor Design Using Square‑shaped Metamaterial Resonators for Blood Cancer Detection</t>
        </is>
      </c>
      <c r="C6" s="2" t="inlineStr">
        <is>
          <t>gold(300 nm)+ GST(400 nm)+graphene+ gold (500 nm)
Metal+phase-change+semi+metal</t>
        </is>
      </c>
      <c r="D6" s="4" t="n">
        <v>36</v>
      </c>
    </row>
    <row r="7" ht="49.5" customHeight="1" s="5">
      <c r="A7" s="2" t="inlineStr">
        <is>
          <t>[65]</t>
        </is>
      </c>
      <c r="B7" s="2" t="inlineStr">
        <is>
          <t>Electromagnetically induced transparency in planar complementary metamaterial for refractive index sensing applications</t>
        </is>
      </c>
      <c r="C7" s="2" t="inlineStr">
        <is>
          <t>SiO2(0-60 nm)+gold ( 20 nm)
dielectric+metal</t>
        </is>
      </c>
      <c r="D7" s="4" t="n">
        <v>19.2</v>
      </c>
    </row>
    <row r="8" ht="49.5" customHeight="1" s="5">
      <c r="A8" s="2" t="inlineStr">
        <is>
          <t>[22]</t>
        </is>
      </c>
      <c r="B8" s="2" t="inlineStr">
        <is>
          <t>Dual-band plasmonic perfect absorber based on graphene
metamaterials for refractive index sensing application,</t>
        </is>
      </c>
      <c r="C8" s="2" t="inlineStr">
        <is>
          <t xml:space="preserve"> gold (450 nm) + SiO2(4.17 um) + graphene
metal+dielectric+semi</t>
        </is>
      </c>
      <c r="D8" s="4" t="n">
        <v>10.8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변인섭</dc:creator>
  <dcterms:created xmlns:dcterms="http://purl.org/dc/terms/" xmlns:xsi="http://www.w3.org/2001/XMLSchema-instance" xsi:type="dcterms:W3CDTF">2026-07-13T02:19:23Z</dcterms:created>
  <dcterms:modified xmlns:dcterms="http://purl.org/dc/terms/" xmlns:xsi="http://www.w3.org/2001/XMLSchema-instance" xsi:type="dcterms:W3CDTF">2026-07-15T08:08:41Z</dcterms:modified>
  <cp:lastModifiedBy>변인섭</cp:lastModifiedBy>
</cp:coreProperties>
</file>